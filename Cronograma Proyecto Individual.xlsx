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ocuments\Programacion II\Proyecto Individual\"/>
    </mc:Choice>
  </mc:AlternateContent>
  <xr:revisionPtr revIDLastSave="0" documentId="8_{C9ABE220-066B-4A41-87B2-001CCEAE9963}" xr6:coauthVersionLast="47" xr6:coauthVersionMax="47" xr10:uidLastSave="{00000000-0000-0000-0000-000000000000}"/>
  <bookViews>
    <workbookView xWindow="-120" yWindow="-120" windowWidth="29040" windowHeight="15960" xr2:uid="{595BDD69-76D8-42FA-B8B4-5E2ACA8370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D19" i="1" s="1"/>
  <c r="E4" i="1"/>
  <c r="D4" i="1"/>
  <c r="E9" i="1" l="1"/>
  <c r="E19" i="1" s="1"/>
</calcChain>
</file>

<file path=xl/sharedStrings.xml><?xml version="1.0" encoding="utf-8"?>
<sst xmlns="http://schemas.openxmlformats.org/spreadsheetml/2006/main" count="41" uniqueCount="30">
  <si>
    <t>Actividad</t>
  </si>
  <si>
    <t>Estado</t>
  </si>
  <si>
    <t>Fecha</t>
  </si>
  <si>
    <t>Horas</t>
  </si>
  <si>
    <t>% Avance</t>
  </si>
  <si>
    <t>Entregable 1</t>
  </si>
  <si>
    <t>Portada</t>
  </si>
  <si>
    <t>No Comenzada</t>
  </si>
  <si>
    <t>Diagrama de clases</t>
  </si>
  <si>
    <t>Diagrama de Flujo</t>
  </si>
  <si>
    <t>Cronograma</t>
  </si>
  <si>
    <t>Entregable Final</t>
  </si>
  <si>
    <t>Total de Horas</t>
  </si>
  <si>
    <t>Cronograma Proyecto Individual Jose Andres Jimenez Coto</t>
  </si>
  <si>
    <t>Terminado</t>
  </si>
  <si>
    <t>Desarrollo de la estructura inicial del sistema</t>
  </si>
  <si>
    <t>Desarrollo de usuarios y libros</t>
  </si>
  <si>
    <t>Desarrollo del sistema de préstamos</t>
  </si>
  <si>
    <t>Desarrollo de devoluciones y cálculo de multas</t>
  </si>
  <si>
    <t>Implementación del almacenamiento en XML</t>
  </si>
  <si>
    <t>Pruebas y corrección de errores</t>
  </si>
  <si>
    <t>Elaboración del manual de usuario</t>
  </si>
  <si>
    <t>Elaboración de casos de prueba y documentación final</t>
  </si>
  <si>
    <t>Entrega final del proyecto</t>
  </si>
  <si>
    <t>16/10/2026</t>
  </si>
  <si>
    <t>23/10/2026</t>
  </si>
  <si>
    <t>17/10/2026</t>
  </si>
  <si>
    <t>24/10/2026</t>
  </si>
  <si>
    <t>28/10/2026</t>
  </si>
  <si>
    <t>29/10/2026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</si>
</sst>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9" fontId="5" fillId="3" borderId="0" xfId="1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9" fontId="3" fillId="0" borderId="0" xfId="1" applyFont="1" applyAlignment="1">
      <alignment horizontal="center" vertical="top"/>
    </xf>
    <xf numFmtId="9" fontId="4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left" vertical="center" readingOrder="1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5" fillId="3" borderId="0" xfId="0" applyFont="1" applyFill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B5F5-EB21-4A33-95DD-2EE7B13A9EC5}">
  <dimension ref="A1:E19"/>
  <sheetViews>
    <sheetView tabSelected="1" workbookViewId="0">
      <selection activeCell="E19" sqref="A1:E19"/>
    </sheetView>
  </sheetViews>
  <sheetFormatPr baseColWidth="10" defaultRowHeight="15" x14ac:dyDescent="0.25"/>
  <cols>
    <col min="1" max="1" width="49.85546875" customWidth="1"/>
    <col min="2" max="2" width="14" bestFit="1" customWidth="1"/>
    <col min="5" max="5" width="11" bestFit="1" customWidth="1"/>
    <col min="9" max="9" width="11.7109375" bestFit="1" customWidth="1"/>
  </cols>
  <sheetData>
    <row r="1" spans="1:5" ht="18.75" x14ac:dyDescent="0.25">
      <c r="A1" s="13" t="s">
        <v>13</v>
      </c>
      <c r="B1" s="13"/>
      <c r="C1" s="13"/>
      <c r="D1" s="13"/>
      <c r="E1" s="13"/>
    </row>
    <row r="2" spans="1:5" x14ac:dyDescent="0.25">
      <c r="A2" s="14"/>
      <c r="B2" s="14"/>
      <c r="C2" s="14"/>
      <c r="D2" s="1"/>
      <c r="E2" s="2"/>
    </row>
    <row r="3" spans="1:5" ht="15.7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25">
      <c r="A4" s="15" t="s">
        <v>5</v>
      </c>
      <c r="B4" s="4"/>
      <c r="C4" s="4"/>
      <c r="D4" s="5">
        <f>SUM(D5:D8)</f>
        <v>5</v>
      </c>
      <c r="E4" s="6">
        <f>IFERROR(SUMPRODUCT(D5:D8,E5:E8)/D4, 0)</f>
        <v>1</v>
      </c>
    </row>
    <row r="5" spans="1:5" s="12" customFormat="1" x14ac:dyDescent="0.25">
      <c r="A5" s="11" t="s">
        <v>6</v>
      </c>
      <c r="B5" s="7" t="s">
        <v>14</v>
      </c>
      <c r="C5" s="8">
        <v>46299</v>
      </c>
      <c r="D5" s="7">
        <v>0.5</v>
      </c>
      <c r="E5" s="9">
        <v>1</v>
      </c>
    </row>
    <row r="6" spans="1:5" s="12" customFormat="1" x14ac:dyDescent="0.25">
      <c r="A6" s="11" t="s">
        <v>8</v>
      </c>
      <c r="B6" s="7" t="s">
        <v>14</v>
      </c>
      <c r="C6" s="8">
        <v>46299</v>
      </c>
      <c r="D6" s="7">
        <v>1.5</v>
      </c>
      <c r="E6" s="9">
        <v>1</v>
      </c>
    </row>
    <row r="7" spans="1:5" s="12" customFormat="1" x14ac:dyDescent="0.25">
      <c r="A7" s="11" t="s">
        <v>9</v>
      </c>
      <c r="B7" s="7" t="s">
        <v>14</v>
      </c>
      <c r="C7" s="8">
        <v>46299</v>
      </c>
      <c r="D7" s="7">
        <v>2</v>
      </c>
      <c r="E7" s="9">
        <v>1</v>
      </c>
    </row>
    <row r="8" spans="1:5" s="12" customFormat="1" x14ac:dyDescent="0.25">
      <c r="A8" s="11" t="s">
        <v>10</v>
      </c>
      <c r="B8" s="7" t="s">
        <v>14</v>
      </c>
      <c r="C8" s="8">
        <v>46299</v>
      </c>
      <c r="D8" s="7">
        <v>1</v>
      </c>
      <c r="E8" s="9">
        <v>1</v>
      </c>
    </row>
    <row r="9" spans="1:5" x14ac:dyDescent="0.25">
      <c r="A9" s="15" t="s">
        <v>11</v>
      </c>
      <c r="B9" s="4"/>
      <c r="C9" s="4"/>
      <c r="D9" s="5">
        <f>SUM(D10:D18)</f>
        <v>27.5</v>
      </c>
      <c r="E9" s="6">
        <f>IFERROR(SUMPRODUCT(D10:D18,E10:E18)/D9, 0)</f>
        <v>0</v>
      </c>
    </row>
    <row r="10" spans="1:5" x14ac:dyDescent="0.25">
      <c r="A10" s="11" t="s">
        <v>15</v>
      </c>
      <c r="B10" s="7" t="s">
        <v>7</v>
      </c>
      <c r="C10" s="8">
        <v>46275</v>
      </c>
      <c r="D10" s="7">
        <v>3</v>
      </c>
      <c r="E10" s="9">
        <v>0</v>
      </c>
    </row>
    <row r="11" spans="1:5" x14ac:dyDescent="0.25">
      <c r="A11" s="11" t="s">
        <v>16</v>
      </c>
      <c r="B11" s="7" t="s">
        <v>7</v>
      </c>
      <c r="C11" s="8">
        <v>46305</v>
      </c>
      <c r="D11" s="7">
        <v>3</v>
      </c>
      <c r="E11" s="9">
        <v>0</v>
      </c>
    </row>
    <row r="12" spans="1:5" x14ac:dyDescent="0.25">
      <c r="A12" s="11" t="s">
        <v>17</v>
      </c>
      <c r="B12" s="7" t="s">
        <v>7</v>
      </c>
      <c r="C12" s="7" t="s">
        <v>24</v>
      </c>
      <c r="D12" s="7">
        <v>4</v>
      </c>
      <c r="E12" s="9">
        <v>0</v>
      </c>
    </row>
    <row r="13" spans="1:5" x14ac:dyDescent="0.25">
      <c r="A13" s="11" t="s">
        <v>18</v>
      </c>
      <c r="B13" s="7" t="s">
        <v>7</v>
      </c>
      <c r="C13" s="7" t="s">
        <v>26</v>
      </c>
      <c r="D13" s="7">
        <v>4</v>
      </c>
      <c r="E13" s="9">
        <v>0</v>
      </c>
    </row>
    <row r="14" spans="1:5" x14ac:dyDescent="0.25">
      <c r="A14" s="11" t="s">
        <v>19</v>
      </c>
      <c r="B14" s="7" t="s">
        <v>7</v>
      </c>
      <c r="C14" s="7" t="s">
        <v>25</v>
      </c>
      <c r="D14" s="7">
        <v>4</v>
      </c>
      <c r="E14" s="9">
        <v>0</v>
      </c>
    </row>
    <row r="15" spans="1:5" x14ac:dyDescent="0.25">
      <c r="A15" s="11" t="s">
        <v>20</v>
      </c>
      <c r="B15" s="7" t="s">
        <v>7</v>
      </c>
      <c r="C15" s="7" t="s">
        <v>27</v>
      </c>
      <c r="D15" s="7">
        <v>3</v>
      </c>
      <c r="E15" s="9">
        <v>0</v>
      </c>
    </row>
    <row r="16" spans="1:5" x14ac:dyDescent="0.25">
      <c r="A16" s="11" t="s">
        <v>21</v>
      </c>
      <c r="B16" s="7" t="s">
        <v>7</v>
      </c>
      <c r="C16" s="7" t="s">
        <v>28</v>
      </c>
      <c r="D16" s="7">
        <v>3</v>
      </c>
      <c r="E16" s="9">
        <v>0</v>
      </c>
    </row>
    <row r="17" spans="1:5" x14ac:dyDescent="0.25">
      <c r="A17" s="11" t="s">
        <v>22</v>
      </c>
      <c r="B17" s="7" t="s">
        <v>7</v>
      </c>
      <c r="C17" s="7" t="s">
        <v>29</v>
      </c>
      <c r="D17" s="7">
        <v>3</v>
      </c>
      <c r="E17" s="9">
        <v>0</v>
      </c>
    </row>
    <row r="18" spans="1:5" x14ac:dyDescent="0.25">
      <c r="A18" s="11" t="s">
        <v>23</v>
      </c>
      <c r="B18" s="7" t="s">
        <v>7</v>
      </c>
      <c r="C18" s="8">
        <v>46064</v>
      </c>
      <c r="D18" s="7">
        <v>0.5</v>
      </c>
      <c r="E18" s="9">
        <v>0</v>
      </c>
    </row>
    <row r="19" spans="1:5" ht="15.75" x14ac:dyDescent="0.25">
      <c r="A19" s="3" t="s">
        <v>12</v>
      </c>
      <c r="B19" s="3"/>
      <c r="C19" s="3"/>
      <c r="D19" s="3">
        <f>SUM(D4,D9)</f>
        <v>32.5</v>
      </c>
      <c r="E19" s="10">
        <f>IFERROR(SUM(D4*E4,#REF!*#REF!, D9*E9)/D19, 0)</f>
        <v>0</v>
      </c>
    </row>
  </sheetData>
  <mergeCells count="1">
    <mergeCell ref="A1: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Jiménez Coto</dc:creator>
  <cp:lastModifiedBy>Jose Jiménez Coto</cp:lastModifiedBy>
  <dcterms:created xsi:type="dcterms:W3CDTF">2026-10-05T01:33:04Z</dcterms:created>
  <dcterms:modified xsi:type="dcterms:W3CDTF">2026-10-05T02:04:41Z</dcterms:modified>
</cp:coreProperties>
</file>